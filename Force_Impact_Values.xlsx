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kjasper/CursorCode/Combat Robot/IMU_analysis/"/>
    </mc:Choice>
  </mc:AlternateContent>
  <xr:revisionPtr revIDLastSave="0" documentId="8_{708B5000-63EF-6D46-A927-3D96DF97903B}" xr6:coauthVersionLast="47" xr6:coauthVersionMax="47" xr10:uidLastSave="{00000000-0000-0000-0000-000000000000}"/>
  <bookViews>
    <workbookView xWindow="380" yWindow="600" windowWidth="28040" windowHeight="16180" xr2:uid="{A2D3427A-7114-7840-AD6E-65FD0D46650C}"/>
  </bookViews>
  <sheets>
    <sheet name="3_12-31-1979_6-00-00_PM_merged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G14" i="1"/>
  <c r="H14" i="1"/>
  <c r="I14" i="1"/>
  <c r="J14" i="1"/>
  <c r="B14" i="1"/>
  <c r="C14" i="1"/>
  <c r="D14" i="1"/>
  <c r="E14" i="1"/>
  <c r="F14" i="1"/>
</calcChain>
</file>

<file path=xl/sharedStrings.xml><?xml version="1.0" encoding="utf-8"?>
<sst xmlns="http://schemas.openxmlformats.org/spreadsheetml/2006/main" count="12" uniqueCount="12">
  <si>
    <t>t_center_s</t>
  </si>
  <si>
    <t>dt_contact_s</t>
  </si>
  <si>
    <t>a_xy_peak_m_s2</t>
  </si>
  <si>
    <t>dv_h_endpoints_m_s</t>
  </si>
  <si>
    <t>dv_h_integral_m_s</t>
  </si>
  <si>
    <t>F_peak_N</t>
  </si>
  <si>
    <t>F_avg_from_impulse_N</t>
  </si>
  <si>
    <t>v_before_m_s</t>
  </si>
  <si>
    <t>v_after_m_s</t>
  </si>
  <si>
    <t>i_seed</t>
  </si>
  <si>
    <t>mean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</si>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</sst>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0E92-1B7E-E94C-AB2B-AFB44C111FC3}">
  <dimension ref="A1:J16"/>
  <sheetViews>
    <sheetView tabSelected="1" zoomScale="139" workbookViewId="0">
      <selection activeCell="F17" sqref="F17"/>
    </sheetView>
  </sheetViews>
  <sheetFormatPr baseColWidth="10" defaultRowHeight="16" x14ac:dyDescent="0.2"/>
  <cols>
    <col min="1" max="1" width="7.83203125" customWidth="1"/>
    <col min="2" max="6" width="13.83203125" customWidth="1"/>
    <col min="7" max="7" width="17.6640625" customWidth="1"/>
    <col min="8" max="10" width="13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51.919998999999997</v>
      </c>
      <c r="B2">
        <v>4.0072999999999998E-2</v>
      </c>
      <c r="C2">
        <v>14.5749</v>
      </c>
      <c r="D2">
        <v>0</v>
      </c>
      <c r="E2">
        <v>0</v>
      </c>
      <c r="F2">
        <v>174.2</v>
      </c>
      <c r="G2">
        <v>0</v>
      </c>
      <c r="H2">
        <v>0.26500000000000001</v>
      </c>
      <c r="I2">
        <v>0.36649999999999999</v>
      </c>
      <c r="J2">
        <v>2594</v>
      </c>
    </row>
    <row r="3" spans="1:10" x14ac:dyDescent="0.2">
      <c r="A3">
        <v>131.70003600000001</v>
      </c>
      <c r="B3">
        <v>1.9955000000000001E-2</v>
      </c>
      <c r="C3">
        <v>44.583300000000001</v>
      </c>
      <c r="D3">
        <v>0</v>
      </c>
      <c r="E3">
        <v>0</v>
      </c>
      <c r="F3">
        <v>532.79999999999995</v>
      </c>
      <c r="G3">
        <v>0</v>
      </c>
      <c r="H3">
        <v>1.3697999999999999</v>
      </c>
      <c r="I3">
        <v>1.4641999999999999</v>
      </c>
      <c r="J3">
        <v>6583</v>
      </c>
    </row>
    <row r="4" spans="1:10" x14ac:dyDescent="0.2">
      <c r="A4">
        <v>230.51998699999999</v>
      </c>
      <c r="B4">
        <v>0.36017300000000002</v>
      </c>
      <c r="C4">
        <v>5.3762999999999996</v>
      </c>
      <c r="D4">
        <v>0</v>
      </c>
      <c r="E4">
        <v>0</v>
      </c>
      <c r="F4">
        <v>64.2</v>
      </c>
      <c r="G4">
        <v>0</v>
      </c>
      <c r="H4">
        <v>0.53339999999999999</v>
      </c>
      <c r="I4">
        <v>1.022</v>
      </c>
      <c r="J4">
        <v>7236</v>
      </c>
    </row>
    <row r="5" spans="1:10" x14ac:dyDescent="0.2">
      <c r="A5">
        <v>300.90002099999998</v>
      </c>
      <c r="B5">
        <v>2.0115000000000001E-2</v>
      </c>
      <c r="C5">
        <v>4.4730999999999996</v>
      </c>
      <c r="D5">
        <v>0</v>
      </c>
      <c r="E5">
        <v>0</v>
      </c>
      <c r="F5">
        <v>53.5</v>
      </c>
      <c r="G5">
        <v>0</v>
      </c>
      <c r="H5">
        <v>1.4311</v>
      </c>
      <c r="I5">
        <v>1.4311</v>
      </c>
      <c r="J5">
        <v>8289</v>
      </c>
    </row>
    <row r="6" spans="1:10" x14ac:dyDescent="0.2">
      <c r="A6">
        <v>360.11999200000002</v>
      </c>
      <c r="B6">
        <v>0.21940299999999999</v>
      </c>
      <c r="C6">
        <v>13.673400000000001</v>
      </c>
      <c r="D6">
        <v>0</v>
      </c>
      <c r="E6">
        <v>0</v>
      </c>
      <c r="F6">
        <v>163.4</v>
      </c>
      <c r="G6">
        <v>0</v>
      </c>
      <c r="H6">
        <v>1.6617999999999999</v>
      </c>
      <c r="I6">
        <v>1.8863000000000001</v>
      </c>
      <c r="J6">
        <v>8960</v>
      </c>
    </row>
    <row r="7" spans="1:10" x14ac:dyDescent="0.2">
      <c r="A7">
        <v>436.48035199999998</v>
      </c>
      <c r="B7">
        <v>0.4</v>
      </c>
      <c r="C7">
        <v>8.7597000000000005</v>
      </c>
      <c r="D7">
        <v>0.99639999999999995</v>
      </c>
      <c r="E7">
        <v>1.0137</v>
      </c>
      <c r="F7">
        <v>104.7</v>
      </c>
      <c r="G7">
        <v>30.3</v>
      </c>
      <c r="H7">
        <v>1.4664999999999999</v>
      </c>
      <c r="I7">
        <v>0.47010000000000002</v>
      </c>
      <c r="J7">
        <v>10360</v>
      </c>
    </row>
    <row r="8" spans="1:10" x14ac:dyDescent="0.2">
      <c r="A8">
        <v>437.69997799999999</v>
      </c>
      <c r="B8">
        <v>3.9648999999999997E-2</v>
      </c>
      <c r="C8">
        <v>16.067599999999999</v>
      </c>
      <c r="D8">
        <v>0.62919999999999998</v>
      </c>
      <c r="E8">
        <v>0.47810000000000002</v>
      </c>
      <c r="F8">
        <v>192</v>
      </c>
      <c r="G8">
        <v>189.6</v>
      </c>
      <c r="H8">
        <v>1.008</v>
      </c>
      <c r="I8">
        <v>0.37880000000000003</v>
      </c>
      <c r="J8">
        <v>10420</v>
      </c>
    </row>
    <row r="9" spans="1:10" x14ac:dyDescent="0.2">
      <c r="A9">
        <v>439.21999099999999</v>
      </c>
      <c r="B9">
        <v>1.9970000000000002E-2</v>
      </c>
      <c r="C9">
        <v>12.5527</v>
      </c>
      <c r="D9">
        <v>0</v>
      </c>
      <c r="E9">
        <v>6.3399999999999998E-2</v>
      </c>
      <c r="F9">
        <v>150</v>
      </c>
      <c r="G9">
        <v>37.9</v>
      </c>
      <c r="H9">
        <v>0.80210000000000004</v>
      </c>
      <c r="I9">
        <v>0.83209999999999995</v>
      </c>
      <c r="J9">
        <v>10494</v>
      </c>
    </row>
    <row r="10" spans="1:10" x14ac:dyDescent="0.2">
      <c r="A10">
        <v>450.30001800000002</v>
      </c>
      <c r="B10">
        <v>1.9982E-2</v>
      </c>
      <c r="C10">
        <v>27.305900000000001</v>
      </c>
      <c r="D10">
        <v>1.5699999999999999E-2</v>
      </c>
      <c r="E10">
        <v>0.1236</v>
      </c>
      <c r="F10">
        <v>326.3</v>
      </c>
      <c r="G10">
        <v>73.900000000000006</v>
      </c>
      <c r="H10">
        <v>0.52470000000000006</v>
      </c>
      <c r="I10">
        <v>0.50890000000000002</v>
      </c>
      <c r="J10">
        <v>11049</v>
      </c>
    </row>
    <row r="11" spans="1:10" x14ac:dyDescent="0.2">
      <c r="A11">
        <v>451.600009</v>
      </c>
      <c r="B11">
        <v>2.002E-2</v>
      </c>
      <c r="C11">
        <v>6.0346000000000002</v>
      </c>
      <c r="D11">
        <v>0</v>
      </c>
      <c r="E11">
        <v>0</v>
      </c>
      <c r="F11">
        <v>72.099999999999994</v>
      </c>
      <c r="G11">
        <v>0</v>
      </c>
      <c r="H11">
        <v>0.76470000000000005</v>
      </c>
      <c r="I11">
        <v>0.76470000000000005</v>
      </c>
      <c r="J11">
        <v>11106</v>
      </c>
    </row>
    <row r="12" spans="1:10" x14ac:dyDescent="0.2">
      <c r="A12">
        <v>461.28033799999997</v>
      </c>
      <c r="B12">
        <v>1.9689999999999999E-2</v>
      </c>
      <c r="C12">
        <v>16.039400000000001</v>
      </c>
      <c r="D12">
        <v>7.4399999999999994E-2</v>
      </c>
      <c r="E12">
        <v>0.11409999999999999</v>
      </c>
      <c r="F12">
        <v>191.7</v>
      </c>
      <c r="G12">
        <v>69.2</v>
      </c>
      <c r="H12">
        <v>1.0726</v>
      </c>
      <c r="I12">
        <v>0.99819999999999998</v>
      </c>
      <c r="J12">
        <v>11598</v>
      </c>
    </row>
    <row r="14" spans="1:10" x14ac:dyDescent="0.2">
      <c r="A14" t="s">
        <v>10</v>
      </c>
      <c r="B14">
        <f t="shared" ref="B14:E14" si="0">(B2+B3+B6+B8+B10+B12)/6</f>
        <v>5.9791999999999991E-2</v>
      </c>
      <c r="C14">
        <f t="shared" si="0"/>
        <v>22.040750000000003</v>
      </c>
      <c r="D14">
        <f t="shared" si="0"/>
        <v>0.11988333333333334</v>
      </c>
      <c r="E14">
        <f t="shared" si="0"/>
        <v>0.1193</v>
      </c>
      <c r="F14">
        <f>(F2+F3+F6+F8+F10+F12)/6</f>
        <v>263.40000000000003</v>
      </c>
      <c r="G14">
        <f t="shared" ref="G14:J14" si="1">(G2+G3+G6+G8+G10+G12)/6</f>
        <v>55.449999999999996</v>
      </c>
      <c r="H14">
        <f t="shared" si="1"/>
        <v>0.98364999999999991</v>
      </c>
      <c r="I14">
        <f t="shared" si="1"/>
        <v>0.93381666666666663</v>
      </c>
      <c r="J14">
        <f t="shared" si="1"/>
        <v>8534</v>
      </c>
    </row>
    <row r="16" spans="1:10" x14ac:dyDescent="0.2">
      <c r="A16" t="s">
        <v>11</v>
      </c>
      <c r="F16">
        <f>STDEV(F2:F12)</f>
        <v>139.24896278379831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3_12-31-1979_6-00-00_PM_merged_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H Jasper</dc:creator>
  <cp:lastModifiedBy>Patrick H Jasper</cp:lastModifiedBy>
  <dcterms:created xsi:type="dcterms:W3CDTF">2026-04-24T17:05:03Z</dcterms:created>
  <dcterms:modified xsi:type="dcterms:W3CDTF">2026-04-24T17:05:04Z</dcterms:modified>
</cp:coreProperties>
</file>